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eva\Projects\"/>
    </mc:Choice>
  </mc:AlternateContent>
  <bookViews>
    <workbookView xWindow="0" yWindow="0" windowWidth="23040" windowHeight="9864"/>
  </bookViews>
  <sheets>
    <sheet name="Revenue" sheetId="1" r:id="rId1"/>
    <sheet name="Sheet1" sheetId="4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56" i="1" l="1"/>
  <c r="F56" i="1"/>
  <c r="E56" i="1"/>
  <c r="D56" i="1"/>
  <c r="C56" i="1"/>
  <c r="G54" i="1"/>
  <c r="F54" i="1"/>
  <c r="E54" i="1"/>
  <c r="D54" i="1"/>
  <c r="C54" i="1"/>
  <c r="G39" i="1" l="1"/>
  <c r="F39" i="1"/>
  <c r="E39" i="1"/>
  <c r="D39" i="1"/>
  <c r="C39" i="1"/>
  <c r="G24" i="1"/>
  <c r="F24" i="1"/>
  <c r="E24" i="1"/>
  <c r="D24" i="1"/>
  <c r="C24" i="1"/>
  <c r="G14" i="1"/>
  <c r="F14" i="1"/>
  <c r="E14" i="1"/>
  <c r="D14" i="1"/>
  <c r="C14" i="1"/>
  <c r="G43" i="1" l="1"/>
  <c r="F43" i="1"/>
  <c r="D43" i="1"/>
  <c r="E43" i="1"/>
  <c r="C43" i="1"/>
  <c r="C6" i="1"/>
  <c r="C16" i="1" s="1"/>
  <c r="C45" i="1" s="1"/>
  <c r="C59" i="1" s="1"/>
  <c r="D6" i="1"/>
  <c r="D16" i="1" s="1"/>
  <c r="E6" i="1"/>
  <c r="E16" i="1" s="1"/>
  <c r="G6" i="1"/>
  <c r="G16" i="1" s="1"/>
  <c r="F6" i="1"/>
  <c r="F16" i="1" s="1"/>
  <c r="F45" i="1" l="1"/>
  <c r="F59" i="1" s="1"/>
  <c r="E45" i="1"/>
  <c r="E59" i="1" s="1"/>
  <c r="D18" i="1"/>
  <c r="D45" i="1"/>
  <c r="G45" i="1"/>
  <c r="G59" i="1" s="1"/>
  <c r="G18" i="1"/>
  <c r="F18" i="1"/>
  <c r="E18" i="1"/>
  <c r="D47" i="1" l="1"/>
  <c r="D59" i="1"/>
  <c r="G47" i="1"/>
  <c r="F47" i="1"/>
  <c r="E47" i="1"/>
</calcChain>
</file>

<file path=xl/sharedStrings.xml><?xml version="1.0" encoding="utf-8"?>
<sst xmlns="http://schemas.openxmlformats.org/spreadsheetml/2006/main" count="88" uniqueCount="73">
  <si>
    <t>Interest / discount on advances / bills</t>
  </si>
  <si>
    <t>Income on investments</t>
  </si>
  <si>
    <t>Others</t>
  </si>
  <si>
    <t>Interest on balance with RBI and other inter-bank funds</t>
  </si>
  <si>
    <t xml:space="preserve">57,524.80 
</t>
  </si>
  <si>
    <t>Commission, exchange and brokerage</t>
  </si>
  <si>
    <t>Profit / (loss) on sale of investments (net)</t>
  </si>
  <si>
    <t>Profit / (loss) on revaluation of investments (net)</t>
  </si>
  <si>
    <t>Profit / (loss) on sale of building and other assets (net)</t>
  </si>
  <si>
    <t>Profit / (loss) on exchange / derivative transactions (net)</t>
  </si>
  <si>
    <t>Miscellaneous income</t>
  </si>
  <si>
    <t xml:space="preserve"> 2,438.41 4</t>
  </si>
  <si>
    <t>Other Income</t>
  </si>
  <si>
    <t xml:space="preserve"> Interest Earned</t>
  </si>
  <si>
    <t>Premium and other operating income from insurance business</t>
  </si>
  <si>
    <t>Total Income</t>
  </si>
  <si>
    <t>Growth</t>
  </si>
  <si>
    <t>INCOME</t>
  </si>
  <si>
    <t>Expenses</t>
  </si>
  <si>
    <t>Interest on deposits</t>
  </si>
  <si>
    <t>Interest on RBI / inter-bank borrowings</t>
  </si>
  <si>
    <t>Other interest</t>
  </si>
  <si>
    <t xml:space="preserve"> Interest Expended</t>
  </si>
  <si>
    <t>Payments to and provisions for employees</t>
  </si>
  <si>
    <t>Rent, taxes and lighting</t>
  </si>
  <si>
    <t>Printing and stationery</t>
  </si>
  <si>
    <t>Advertisement and publicity</t>
  </si>
  <si>
    <t>Depreciation on bank's property</t>
  </si>
  <si>
    <t>Directors' fees / remuneration, allowances and expenses</t>
  </si>
  <si>
    <t>Auditors' fees and expenses</t>
  </si>
  <si>
    <t>Law charges</t>
  </si>
  <si>
    <t>Postage, telegram, telephone etc.</t>
  </si>
  <si>
    <t>Repairs and maintenance</t>
  </si>
  <si>
    <t>Insurance</t>
  </si>
  <si>
    <t>Other expenditure</t>
  </si>
  <si>
    <t>Other expenses pertaining to insurance business</t>
  </si>
  <si>
    <t xml:space="preserve"> Operating Expenses</t>
  </si>
  <si>
    <t>Claims and benefits paid pertaining to insurance business</t>
  </si>
  <si>
    <t>Provisions and contingencies</t>
  </si>
  <si>
    <t>Total  Expenses</t>
  </si>
  <si>
    <t>Total Profit</t>
  </si>
  <si>
    <t>Borrowings</t>
  </si>
  <si>
    <t>Advances</t>
  </si>
  <si>
    <t>Gross NPA</t>
  </si>
  <si>
    <t>Net NPA</t>
  </si>
  <si>
    <t>Notes</t>
  </si>
  <si>
    <t>Provision</t>
  </si>
  <si>
    <t>Gross NPA%</t>
  </si>
  <si>
    <t>Net NPA%</t>
  </si>
  <si>
    <t>Total Income = Interest Earned + Other Income</t>
  </si>
  <si>
    <t>Total Expenses = Interest Expended + Operating Expenses + Provision &amp; Contingencies</t>
  </si>
  <si>
    <t>Gross NPA, Net NPA, and Provisions are taken from the Asset Quality section</t>
  </si>
  <si>
    <t>Gross NPA % = (Gross NPA / Total Advances) × 100</t>
  </si>
  <si>
    <t>Net NPA % = [(Gross NPA – Provisions) / Net Advances] × 100</t>
  </si>
  <si>
    <t>Data is taken from the Annual Report of HDFC Bank</t>
  </si>
  <si>
    <t>-</t>
  </si>
  <si>
    <t>`</t>
  </si>
  <si>
    <t>NPA Trend Analysis (2021–2025)</t>
  </si>
  <si>
    <t>Similarly, Net NPA% showed a consistent decline from 0.38% in 2021 to 0.26% in 2023, reflecting effective provisioning and recovery mechanisms. However, it increased to 0.32% in 2024 and further to 0.42% in 2025, indicating growing pressure on asset quality despite provisioning efforts.</t>
  </si>
  <si>
    <t>Overall, the trend shows that while the bank maintained strong control over NPAs until 2023, there is a slight deterioration in asset quality in the recent years, which may require closer monitoring.</t>
  </si>
  <si>
    <t>The Gross NPA% of the bank declined from 1.27% in      2021 to 1.08% in 2023, indicating a significant improvement in asset quality and better credit risk management. However, from 2023 onwards, the ratio increased to 1.21% in 2024 and 1.29% in 2025, suggesting a moderate rise in stressed assets.</t>
  </si>
  <si>
    <t>The increase in NPAs post-2023 may be linked to rapid loan book expansion, which can temporarily increase credit risk.</t>
  </si>
  <si>
    <t>Despite the recent rise, overall NPA levels remain well-controlled compared to industry standards, indicating strong risk management.</t>
  </si>
  <si>
    <t>Rising Net NPA% suggests that provisioning is not fully offsetting bad loans, which may impact future profitability.</t>
  </si>
  <si>
    <t>Insight:</t>
  </si>
  <si>
    <t>Ratios</t>
  </si>
  <si>
    <t>Net Profit Margin</t>
  </si>
  <si>
    <t>ROI</t>
  </si>
  <si>
    <t>ROA</t>
  </si>
  <si>
    <t>NPA vs ROI Analysis – HDFC Bank</t>
  </si>
  <si>
    <r>
      <t xml:space="preserve">From 2021 to 2023, the bank’s NPA levels declined, indicating improved asset quality. During the same period, ROI increased from </t>
    </r>
    <r>
      <rPr>
        <sz val="11"/>
        <color theme="1"/>
        <rFont val="Calibri"/>
        <family val="2"/>
      </rPr>
      <t>1.97% to 2.07%, reflecting better returns.</t>
    </r>
  </si>
  <si>
    <r>
      <t xml:space="preserve">However, from 2023 to 2025, NPAs increased, showing rising stress in the loan portfolio. Correspondingly, ROI declined from </t>
    </r>
    <r>
      <rPr>
        <sz val="11"/>
        <color theme="1"/>
        <rFont val="Calibri"/>
        <family val="2"/>
      </rPr>
      <t>2.07% to 1.91%, indicating reduced returns.</t>
    </r>
  </si>
  <si>
    <r>
      <t xml:space="preserve">Overall, there is an </t>
    </r>
    <r>
      <rPr>
        <sz val="11"/>
        <color theme="1"/>
        <rFont val="Calibri"/>
        <family val="2"/>
      </rPr>
      <t>inverse relationship between NPA and ROI, where an increase in NPAs leads to a decline in ROI due to higher provisioning and lower income generation.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</si>
</sst>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\-"/>
    <numFmt numFmtId="165" formatCode="#,##0.00;\(#,##0.00\)"/>
    <numFmt numFmtId="166" formatCode="_ * #,##0.00_ ;_ * \-#,##0.00_ ;_ * &quot;-&quot;_ ;_ @_ "/>
  </numFmts>
  <fonts count="9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4" tint="-0.499984740745262"/>
      <name val="Calibri"/>
      <family val="2"/>
    </font>
    <font>
      <sz val="11"/>
      <color theme="1"/>
      <name val="Calibri"/>
      <family val="2"/>
    </font>
    <font>
      <sz val="11"/>
      <color theme="3"/>
      <name val="Calibri"/>
      <family val="2"/>
    </font>
    <font>
      <b/>
      <sz val="11"/>
      <color theme="0"/>
      <name val="Calibri"/>
      <family val="2"/>
    </font>
    <font>
      <sz val="11"/>
      <color theme="0"/>
      <name val="Calibri"/>
      <family val="2"/>
    </font>
    <font>
      <sz val="13.5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dashed">
        <color auto="1"/>
      </top>
      <bottom style="thin">
        <color auto="1"/>
      </bottom>
      <diagonal/>
    </border>
    <border>
      <left/>
      <right/>
      <top style="dashed">
        <color auto="1"/>
      </top>
      <bottom style="dashed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dotted">
        <color auto="1"/>
      </top>
      <bottom/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dashed">
        <color auto="1"/>
      </bottom>
      <diagonal/>
    </border>
    <border>
      <left/>
      <right/>
      <top style="dashed">
        <color auto="1"/>
      </top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61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4" fontId="1" fillId="0" borderId="2" xfId="0" applyNumberFormat="1" applyFont="1" applyBorder="1"/>
    <xf numFmtId="4" fontId="2" fillId="0" borderId="4" xfId="0" applyNumberFormat="1" applyFont="1" applyBorder="1" applyAlignment="1">
      <alignment horizontal="right"/>
    </xf>
    <xf numFmtId="4" fontId="2" fillId="0" borderId="4" xfId="0" applyNumberFormat="1" applyFont="1" applyBorder="1" applyAlignment="1">
      <alignment horizontal="right" vertical="center" wrapText="1"/>
    </xf>
    <xf numFmtId="4" fontId="2" fillId="0" borderId="4" xfId="0" applyNumberFormat="1" applyFont="1" applyBorder="1" applyAlignment="1">
      <alignment horizontal="right" vertical="top" wrapText="1"/>
    </xf>
    <xf numFmtId="4" fontId="2" fillId="0" borderId="4" xfId="0" applyNumberFormat="1" applyFont="1" applyBorder="1" applyAlignment="1">
      <alignment horizontal="right" vertical="top"/>
    </xf>
    <xf numFmtId="4" fontId="2" fillId="0" borderId="4" xfId="0" applyNumberFormat="1" applyFont="1" applyBorder="1" applyAlignment="1">
      <alignment horizontal="right" wrapText="1"/>
    </xf>
    <xf numFmtId="4" fontId="2" fillId="0" borderId="3" xfId="0" applyNumberFormat="1" applyFont="1" applyBorder="1" applyAlignment="1">
      <alignment horizontal="right"/>
    </xf>
    <xf numFmtId="4" fontId="2" fillId="0" borderId="6" xfId="0" applyNumberFormat="1" applyFont="1" applyBorder="1" applyAlignment="1">
      <alignment horizontal="right"/>
    </xf>
    <xf numFmtId="4" fontId="2" fillId="0" borderId="6" xfId="0" applyNumberFormat="1" applyFont="1" applyBorder="1" applyAlignment="1">
      <alignment horizontal="right" wrapText="1"/>
    </xf>
    <xf numFmtId="0" fontId="2" fillId="0" borderId="6" xfId="0" applyFont="1" applyBorder="1" applyAlignment="1">
      <alignment horizontal="right"/>
    </xf>
    <xf numFmtId="0" fontId="2" fillId="0" borderId="6" xfId="0" applyFont="1" applyBorder="1" applyAlignment="1">
      <alignment horizontal="right" wrapText="1"/>
    </xf>
    <xf numFmtId="4" fontId="2" fillId="0" borderId="5" xfId="0" applyNumberFormat="1" applyFont="1" applyBorder="1" applyAlignment="1">
      <alignment horizontal="right" wrapText="1"/>
    </xf>
    <xf numFmtId="4" fontId="2" fillId="0" borderId="5" xfId="0" applyNumberFormat="1" applyFont="1" applyBorder="1" applyAlignment="1">
      <alignment horizontal="right"/>
    </xf>
    <xf numFmtId="4" fontId="2" fillId="0" borderId="5" xfId="0" applyNumberFormat="1" applyFont="1" applyBorder="1"/>
    <xf numFmtId="164" fontId="2" fillId="0" borderId="6" xfId="0" applyNumberFormat="1" applyFont="1" applyBorder="1" applyAlignment="1">
      <alignment horizontal="right"/>
    </xf>
    <xf numFmtId="165" fontId="2" fillId="0" borderId="6" xfId="0" applyNumberFormat="1" applyFont="1" applyBorder="1" applyAlignment="1">
      <alignment horizontal="right"/>
    </xf>
    <xf numFmtId="164" fontId="2" fillId="0" borderId="8" xfId="0" applyNumberFormat="1" applyFont="1" applyBorder="1" applyAlignment="1">
      <alignment horizontal="right"/>
    </xf>
    <xf numFmtId="166" fontId="2" fillId="0" borderId="8" xfId="0" applyNumberFormat="1" applyFont="1" applyBorder="1" applyAlignment="1">
      <alignment horizontal="right"/>
    </xf>
    <xf numFmtId="166" fontId="2" fillId="0" borderId="7" xfId="0" applyNumberFormat="1" applyFont="1" applyBorder="1" applyAlignment="1">
      <alignment horizontal="right"/>
    </xf>
    <xf numFmtId="0" fontId="1" fillId="0" borderId="5" xfId="0" applyFont="1" applyBorder="1"/>
    <xf numFmtId="0" fontId="1" fillId="0" borderId="9" xfId="0" applyFont="1" applyFill="1" applyBorder="1"/>
    <xf numFmtId="4" fontId="1" fillId="0" borderId="9" xfId="0" applyNumberFormat="1" applyFont="1" applyBorder="1"/>
    <xf numFmtId="0" fontId="1" fillId="0" borderId="0" xfId="0" applyFont="1" applyBorder="1"/>
    <xf numFmtId="4" fontId="1" fillId="0" borderId="0" xfId="0" applyNumberFormat="1" applyFont="1" applyBorder="1"/>
    <xf numFmtId="10" fontId="1" fillId="0" borderId="0" xfId="1" applyNumberFormat="1" applyFont="1" applyBorder="1"/>
    <xf numFmtId="0" fontId="0" fillId="0" borderId="0" xfId="0" applyAlignment="1">
      <alignment vertical="center"/>
    </xf>
    <xf numFmtId="0" fontId="0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0" fillId="0" borderId="1" xfId="0" applyNumberFormat="1" applyFont="1" applyBorder="1" applyAlignment="1">
      <alignment horizontal="right"/>
    </xf>
    <xf numFmtId="0" fontId="0" fillId="0" borderId="0" xfId="0" applyAlignment="1">
      <alignment horizontal="right"/>
    </xf>
    <xf numFmtId="4" fontId="1" fillId="0" borderId="2" xfId="0" applyNumberFormat="1" applyFont="1" applyBorder="1" applyAlignment="1">
      <alignment horizontal="right"/>
    </xf>
    <xf numFmtId="0" fontId="2" fillId="0" borderId="5" xfId="0" applyFont="1" applyBorder="1" applyAlignment="1">
      <alignment horizontal="right"/>
    </xf>
    <xf numFmtId="4" fontId="0" fillId="0" borderId="1" xfId="0" applyNumberFormat="1" applyBorder="1" applyAlignment="1">
      <alignment horizontal="right"/>
    </xf>
    <xf numFmtId="4" fontId="2" fillId="0" borderId="8" xfId="0" applyNumberFormat="1" applyFont="1" applyBorder="1" applyAlignment="1">
      <alignment horizontal="right"/>
    </xf>
    <xf numFmtId="4" fontId="2" fillId="0" borderId="8" xfId="0" applyNumberFormat="1" applyFont="1" applyBorder="1" applyAlignment="1">
      <alignment horizontal="right" wrapText="1"/>
    </xf>
    <xf numFmtId="0" fontId="2" fillId="0" borderId="8" xfId="0" applyFont="1" applyBorder="1" applyAlignment="1">
      <alignment horizontal="right" wrapText="1"/>
    </xf>
    <xf numFmtId="0" fontId="2" fillId="0" borderId="8" xfId="0" applyFont="1" applyBorder="1" applyAlignment="1">
      <alignment horizontal="right"/>
    </xf>
    <xf numFmtId="4" fontId="2" fillId="0" borderId="7" xfId="0" applyNumberFormat="1" applyFont="1" applyBorder="1" applyAlignment="1">
      <alignment horizontal="right"/>
    </xf>
    <xf numFmtId="4" fontId="2" fillId="0" borderId="7" xfId="0" applyNumberFormat="1" applyFont="1" applyBorder="1" applyAlignment="1">
      <alignment horizontal="right" wrapText="1"/>
    </xf>
    <xf numFmtId="4" fontId="1" fillId="0" borderId="1" xfId="0" applyNumberFormat="1" applyFont="1" applyBorder="1" applyAlignment="1">
      <alignment horizontal="right"/>
    </xf>
    <xf numFmtId="0" fontId="6" fillId="2" borderId="0" xfId="0" applyFont="1" applyFill="1"/>
    <xf numFmtId="0" fontId="5" fillId="2" borderId="0" xfId="0" applyFont="1" applyFill="1" applyAlignment="1">
      <alignment horizontal="right"/>
    </xf>
    <xf numFmtId="0" fontId="0" fillId="0" borderId="0" xfId="0" applyAlignment="1">
      <alignment wrapText="1"/>
    </xf>
    <xf numFmtId="10" fontId="1" fillId="0" borderId="0" xfId="1" applyNumberFormat="1" applyFont="1" applyAlignment="1">
      <alignment horizontal="right"/>
    </xf>
    <xf numFmtId="10" fontId="1" fillId="0" borderId="0" xfId="1" applyNumberFormat="1" applyFont="1" applyBorder="1" applyAlignment="1">
      <alignment horizontal="right"/>
    </xf>
    <xf numFmtId="4" fontId="2" fillId="0" borderId="10" xfId="0" applyNumberFormat="1" applyFont="1" applyBorder="1" applyAlignment="1">
      <alignment horizontal="right"/>
    </xf>
    <xf numFmtId="4" fontId="2" fillId="0" borderId="10" xfId="0" applyNumberFormat="1" applyFont="1" applyBorder="1" applyAlignment="1">
      <alignment horizontal="right" wrapText="1"/>
    </xf>
    <xf numFmtId="4" fontId="4" fillId="0" borderId="4" xfId="0" applyNumberFormat="1" applyFont="1" applyBorder="1" applyAlignment="1">
      <alignment horizontal="right"/>
    </xf>
    <xf numFmtId="10" fontId="1" fillId="0" borderId="4" xfId="1" applyNumberFormat="1" applyFont="1" applyBorder="1" applyAlignment="1">
      <alignment horizontal="right"/>
    </xf>
    <xf numFmtId="0" fontId="4" fillId="0" borderId="4" xfId="1" applyNumberFormat="1" applyFont="1" applyBorder="1" applyAlignment="1">
      <alignment horizontal="right"/>
    </xf>
    <xf numFmtId="4" fontId="4" fillId="0" borderId="4" xfId="1" applyNumberFormat="1" applyFont="1" applyBorder="1" applyAlignment="1">
      <alignment horizontal="right" wrapText="1"/>
    </xf>
    <xf numFmtId="4" fontId="4" fillId="0" borderId="4" xfId="1" applyNumberFormat="1" applyFont="1" applyBorder="1" applyAlignment="1">
      <alignment horizontal="right"/>
    </xf>
    <xf numFmtId="10" fontId="1" fillId="0" borderId="11" xfId="1" applyNumberFormat="1" applyFont="1" applyBorder="1" applyAlignment="1">
      <alignment horizontal="right"/>
    </xf>
    <xf numFmtId="0" fontId="0" fillId="0" borderId="0" xfId="0" applyFont="1" applyAlignment="1">
      <alignment wrapText="1"/>
    </xf>
    <xf numFmtId="0" fontId="0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NPA</a:t>
            </a:r>
            <a:r>
              <a:rPr lang="en-IN" baseline="0"/>
              <a:t> Trends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3"/>
          <c:order val="3"/>
          <c:tx>
            <c:strRef>
              <c:f>Revenue!$B$54</c:f>
              <c:strCache>
                <c:ptCount val="1"/>
                <c:pt idx="0">
                  <c:v>Gross NPA%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Revenue!$C$50:$G$50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Revenue!$C$54:$G$54</c:f>
              <c:numCache>
                <c:formatCode>0.00%</c:formatCode>
                <c:ptCount val="5"/>
                <c:pt idx="0">
                  <c:v>1.2727756478045017E-2</c:v>
                </c:pt>
                <c:pt idx="1">
                  <c:v>1.1359335440423378E-2</c:v>
                </c:pt>
                <c:pt idx="2">
                  <c:v>1.0842105778089053E-2</c:v>
                </c:pt>
                <c:pt idx="3">
                  <c:v>1.214911896836663E-2</c:v>
                </c:pt>
                <c:pt idx="4">
                  <c:v>1.292603278747434E-2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30880128"/>
        <c:axId val="33087360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Revenue!$B$51</c15:sqref>
                        </c15:formulaRef>
                      </c:ext>
                    </c:extLst>
                    <c:strCache>
                      <c:ptCount val="1"/>
                      <c:pt idx="0">
                        <c:v>Advances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Revenue!$C$50:$G$50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2021</c:v>
                      </c:pt>
                      <c:pt idx="1">
                        <c:v>2022</c:v>
                      </c:pt>
                      <c:pt idx="2">
                        <c:v>2023</c:v>
                      </c:pt>
                      <c:pt idx="3">
                        <c:v>2024</c:v>
                      </c:pt>
                      <c:pt idx="4">
                        <c:v>2025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Revenue!$C$51:$G$51</c15:sqref>
                        </c15:formulaRef>
                      </c:ext>
                    </c:extLst>
                    <c:numCache>
                      <c:formatCode>#,##0.00</c:formatCode>
                      <c:ptCount val="5"/>
                      <c:pt idx="0">
                        <c:v>1185283.52</c:v>
                      </c:pt>
                      <c:pt idx="1">
                        <c:v>1420942.28</c:v>
                      </c:pt>
                      <c:pt idx="2">
                        <c:v>1661949.29</c:v>
                      </c:pt>
                      <c:pt idx="3">
                        <c:v>2565891.41</c:v>
                      </c:pt>
                      <c:pt idx="4">
                        <c:v>2724938.16</c:v>
                      </c:pt>
                    </c:numCache>
                  </c:numRef>
                </c:val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Revenue!$B$52</c15:sqref>
                        </c15:formulaRef>
                      </c:ext>
                    </c:extLst>
                    <c:strCache>
                      <c:ptCount val="1"/>
                      <c:pt idx="0">
                        <c:v>Gross NPA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Revenue!$C$50:$G$50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2021</c:v>
                      </c:pt>
                      <c:pt idx="1">
                        <c:v>2022</c:v>
                      </c:pt>
                      <c:pt idx="2">
                        <c:v>2023</c:v>
                      </c:pt>
                      <c:pt idx="3">
                        <c:v>2024</c:v>
                      </c:pt>
                      <c:pt idx="4">
                        <c:v>2025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Revenue!$C$52:$G$52</c15:sqref>
                        </c15:formulaRef>
                      </c:ext>
                    </c:extLst>
                    <c:numCache>
                      <c:formatCode>#,##0.00</c:formatCode>
                      <c:ptCount val="5"/>
                      <c:pt idx="0">
                        <c:v>15086</c:v>
                      </c:pt>
                      <c:pt idx="1">
                        <c:v>16140.96</c:v>
                      </c:pt>
                      <c:pt idx="2">
                        <c:v>18019.03</c:v>
                      </c:pt>
                      <c:pt idx="3">
                        <c:v>31173.32</c:v>
                      </c:pt>
                      <c:pt idx="4">
                        <c:v>35222.639999999999</c:v>
                      </c:pt>
                    </c:numCache>
                  </c:numRef>
                </c:val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Revenue!$B$53</c15:sqref>
                        </c15:formulaRef>
                      </c:ext>
                    </c:extLst>
                    <c:strCache>
                      <c:ptCount val="1"/>
                      <c:pt idx="0">
                        <c:v>Provision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Revenue!$C$50:$G$50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2021</c:v>
                      </c:pt>
                      <c:pt idx="1">
                        <c:v>2022</c:v>
                      </c:pt>
                      <c:pt idx="2">
                        <c:v>2023</c:v>
                      </c:pt>
                      <c:pt idx="3">
                        <c:v>2024</c:v>
                      </c:pt>
                      <c:pt idx="4">
                        <c:v>2025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Revenue!$C$53:$G$53</c15:sqref>
                        </c15:formulaRef>
                      </c:ext>
                    </c:extLst>
                    <c:numCache>
                      <c:formatCode>#,##0.00</c:formatCode>
                      <c:ptCount val="5"/>
                      <c:pt idx="0">
                        <c:v>10531.18</c:v>
                      </c:pt>
                      <c:pt idx="1">
                        <c:v>11733.28</c:v>
                      </c:pt>
                      <c:pt idx="2">
                        <c:v>13650.6</c:v>
                      </c:pt>
                      <c:pt idx="3">
                        <c:v>23081.58</c:v>
                      </c:pt>
                      <c:pt idx="4">
                        <c:v>23902.21</c:v>
                      </c:pt>
                    </c:numCache>
                  </c:numRef>
                </c:val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Revenue!$B$55</c15:sqref>
                        </c15:formulaRef>
                      </c:ext>
                    </c:extLst>
                    <c:strCache>
                      <c:ptCount val="1"/>
                      <c:pt idx="0">
                        <c:v>Net NPA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Revenue!$C$50:$G$50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2021</c:v>
                      </c:pt>
                      <c:pt idx="1">
                        <c:v>2022</c:v>
                      </c:pt>
                      <c:pt idx="2">
                        <c:v>2023</c:v>
                      </c:pt>
                      <c:pt idx="3">
                        <c:v>2024</c:v>
                      </c:pt>
                      <c:pt idx="4">
                        <c:v>2025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Revenue!$C$55:$G$55</c15:sqref>
                        </c15:formulaRef>
                      </c:ext>
                    </c:extLst>
                    <c:numCache>
                      <c:formatCode>#,##0.00</c:formatCode>
                      <c:ptCount val="5"/>
                      <c:pt idx="0" formatCode="General">
                        <c:v>4554.82</c:v>
                      </c:pt>
                      <c:pt idx="1">
                        <c:v>4407.68</c:v>
                      </c:pt>
                      <c:pt idx="2">
                        <c:v>4368.43</c:v>
                      </c:pt>
                      <c:pt idx="3">
                        <c:v>8091.74</c:v>
                      </c:pt>
                      <c:pt idx="4">
                        <c:v>11320.43</c:v>
                      </c:pt>
                    </c:numCache>
                  </c:numRef>
                </c:val>
              </c15:ser>
            </c15:filteredBarSeries>
          </c:ext>
        </c:extLst>
      </c:barChart>
      <c:lineChart>
        <c:grouping val="standard"/>
        <c:varyColors val="0"/>
        <c:ser>
          <c:idx val="5"/>
          <c:order val="5"/>
          <c:tx>
            <c:strRef>
              <c:f>Revenue!$B$56</c:f>
              <c:strCache>
                <c:ptCount val="1"/>
                <c:pt idx="0">
                  <c:v>Net NPA%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Revenue!$C$50:$G$50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Revenue!$C$56:$G$56</c:f>
              <c:numCache>
                <c:formatCode>0.00%</c:formatCode>
                <c:ptCount val="5"/>
                <c:pt idx="0">
                  <c:v>3.8428105370097439E-3</c:v>
                </c:pt>
                <c:pt idx="1">
                  <c:v>3.1019416214429192E-3</c:v>
                </c:pt>
                <c:pt idx="2">
                  <c:v>2.6284977684246902E-3</c:v>
                </c:pt>
                <c:pt idx="3">
                  <c:v>3.1535785062704572E-3</c:v>
                </c:pt>
                <c:pt idx="4">
                  <c:v>4.1543805162903222E-3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0875776"/>
        <c:axId val="330874688"/>
      </c:lineChart>
      <c:catAx>
        <c:axId val="330880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0873600"/>
        <c:crosses val="autoZero"/>
        <c:auto val="1"/>
        <c:lblAlgn val="ctr"/>
        <c:lblOffset val="100"/>
        <c:noMultiLvlLbl val="0"/>
      </c:catAx>
      <c:valAx>
        <c:axId val="330873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0880128"/>
        <c:crosses val="autoZero"/>
        <c:crossBetween val="between"/>
      </c:valAx>
      <c:valAx>
        <c:axId val="330874688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0875776"/>
        <c:crosses val="max"/>
        <c:crossBetween val="between"/>
      </c:valAx>
      <c:catAx>
        <c:axId val="33087577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33087468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NPA VS ROA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Revenue!$B$59</c:f>
              <c:strCache>
                <c:ptCount val="1"/>
                <c:pt idx="0">
                  <c:v>Net Profit Margin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Revenue!$C$58:$G$58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Revenue!$C$59:$G$59</c:f>
              <c:numCache>
                <c:formatCode>0.00%</c:formatCode>
                <c:ptCount val="5"/>
                <c:pt idx="0">
                  <c:v>0.19171691152774889</c:v>
                </c:pt>
                <c:pt idx="1">
                  <c:v>0.22750117176738296</c:v>
                </c:pt>
                <c:pt idx="2">
                  <c:v>0.22536932633098455</c:v>
                </c:pt>
                <c:pt idx="3">
                  <c:v>2.2603077804354974E-2</c:v>
                </c:pt>
                <c:pt idx="4">
                  <c:v>0.15443389226607826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Revenue!$B$60</c:f>
              <c:strCache>
                <c:ptCount val="1"/>
                <c:pt idx="0">
                  <c:v>ROI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Revenue!$C$58:$G$58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Revenue!$C$60:$G$60</c:f>
              <c:numCache>
                <c:formatCode>0.00%</c:formatCode>
                <c:ptCount val="5"/>
                <c:pt idx="0">
                  <c:v>1.9699999999999999E-2</c:v>
                </c:pt>
                <c:pt idx="1">
                  <c:v>2.0299999999999999E-2</c:v>
                </c:pt>
                <c:pt idx="2">
                  <c:v>2.07E-2</c:v>
                </c:pt>
                <c:pt idx="3">
                  <c:v>1.9800000000000002E-2</c:v>
                </c:pt>
                <c:pt idx="4">
                  <c:v>1.9099999999999999E-2</c:v>
                </c:pt>
              </c:numCache>
            </c:numRef>
          </c:val>
          <c:smooth val="0"/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2143450960"/>
        <c:axId val="2143450416"/>
      </c:lineChart>
      <c:catAx>
        <c:axId val="2143450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3450416"/>
        <c:crosses val="autoZero"/>
        <c:auto val="1"/>
        <c:lblAlgn val="ctr"/>
        <c:lblOffset val="100"/>
        <c:noMultiLvlLbl val="0"/>
      </c:catAx>
      <c:valAx>
        <c:axId val="2143450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3450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220980</xdr:colOff>
      <xdr:row>0</xdr:row>
      <xdr:rowOff>175260</xdr:rowOff>
    </xdr:from>
    <xdr:to>
      <xdr:col>14</xdr:col>
      <xdr:colOff>45720</xdr:colOff>
      <xdr:row>11</xdr:row>
      <xdr:rowOff>83820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251460</xdr:colOff>
      <xdr:row>13</xdr:row>
      <xdr:rowOff>106680</xdr:rowOff>
    </xdr:from>
    <xdr:to>
      <xdr:col>14</xdr:col>
      <xdr:colOff>106680</xdr:colOff>
      <xdr:row>28</xdr:row>
      <xdr:rowOff>106680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4"/>
  <sheetViews>
    <sheetView showGridLines="0" tabSelected="1" workbookViewId="0">
      <selection activeCell="A85" sqref="A85"/>
    </sheetView>
  </sheetViews>
  <sheetFormatPr defaultRowHeight="14.4" x14ac:dyDescent="0.3"/>
  <cols>
    <col min="1" max="1" width="1.5546875" customWidth="1"/>
    <col min="2" max="2" width="53.109375" customWidth="1"/>
    <col min="3" max="3" width="12.6640625" customWidth="1"/>
    <col min="4" max="4" width="11.6640625" bestFit="1" customWidth="1"/>
    <col min="5" max="5" width="12.88671875" bestFit="1" customWidth="1"/>
    <col min="6" max="7" width="11.44140625" bestFit="1" customWidth="1"/>
    <col min="8" max="8" width="10.21875" bestFit="1" customWidth="1"/>
    <col min="9" max="13" width="11.44140625" bestFit="1" customWidth="1"/>
  </cols>
  <sheetData>
    <row r="1" spans="2:7" x14ac:dyDescent="0.3">
      <c r="B1" s="44" t="s">
        <v>17</v>
      </c>
      <c r="C1" s="45">
        <v>2021</v>
      </c>
      <c r="D1" s="45">
        <v>2022</v>
      </c>
      <c r="E1" s="45">
        <v>2023</v>
      </c>
      <c r="F1" s="45">
        <v>2024</v>
      </c>
      <c r="G1" s="45">
        <v>2025</v>
      </c>
    </row>
    <row r="2" spans="2:7" x14ac:dyDescent="0.3">
      <c r="B2" t="s">
        <v>0</v>
      </c>
      <c r="C2" s="5">
        <v>102299.13</v>
      </c>
      <c r="D2" s="5">
        <v>106295.34</v>
      </c>
      <c r="E2" s="6">
        <v>135767.32999999999</v>
      </c>
      <c r="F2" s="5">
        <v>217979.34</v>
      </c>
      <c r="G2" s="5">
        <v>251953.6</v>
      </c>
    </row>
    <row r="3" spans="2:7" ht="16.2" customHeight="1" x14ac:dyDescent="0.3">
      <c r="B3" t="s">
        <v>1</v>
      </c>
      <c r="C3" s="5">
        <v>23211.62</v>
      </c>
      <c r="D3" s="5">
        <v>25907.06</v>
      </c>
      <c r="E3" s="5">
        <v>31173.3</v>
      </c>
      <c r="F3" s="7" t="s">
        <v>4</v>
      </c>
      <c r="G3" s="8">
        <v>73912.070000000007</v>
      </c>
    </row>
    <row r="4" spans="2:7" ht="29.4" customHeight="1" x14ac:dyDescent="0.3">
      <c r="B4" s="46" t="s">
        <v>3</v>
      </c>
      <c r="C4" s="5">
        <v>2414.3000000000002</v>
      </c>
      <c r="D4" s="5">
        <v>2630.78</v>
      </c>
      <c r="E4" s="9">
        <v>1149.25</v>
      </c>
      <c r="F4" s="5">
        <v>2634.63</v>
      </c>
      <c r="G4" s="5">
        <v>3172.52</v>
      </c>
    </row>
    <row r="5" spans="2:7" x14ac:dyDescent="0.3">
      <c r="B5" t="s">
        <v>2</v>
      </c>
      <c r="C5" s="10">
        <v>627.35</v>
      </c>
      <c r="D5" s="10">
        <v>1103.23</v>
      </c>
      <c r="E5" s="10">
        <v>2664.17</v>
      </c>
      <c r="F5" s="10">
        <v>5510.25</v>
      </c>
      <c r="G5" s="10">
        <v>7329.24</v>
      </c>
    </row>
    <row r="6" spans="2:7" x14ac:dyDescent="0.3">
      <c r="B6" s="26" t="s">
        <v>13</v>
      </c>
      <c r="C6" s="32">
        <f>SUM(C2:C5)</f>
        <v>128552.40000000001</v>
      </c>
      <c r="D6" s="32">
        <f>SUM(D2:D5)</f>
        <v>135936.41</v>
      </c>
      <c r="E6" s="32">
        <f>SUM(E2:E5)</f>
        <v>170754.05</v>
      </c>
      <c r="F6" s="32">
        <f>SUM(F2:F5)</f>
        <v>226124.22</v>
      </c>
      <c r="G6" s="32">
        <f>SUM(G2:G5)</f>
        <v>336367.43000000005</v>
      </c>
    </row>
    <row r="7" spans="2:7" x14ac:dyDescent="0.3">
      <c r="B7" t="s">
        <v>5</v>
      </c>
      <c r="C7" s="11">
        <v>18024.59</v>
      </c>
      <c r="D7" s="11">
        <v>21875.5</v>
      </c>
      <c r="E7" s="12">
        <v>26263.21</v>
      </c>
      <c r="F7" s="11">
        <v>30621.360000000001</v>
      </c>
      <c r="G7" s="11">
        <v>35029.85</v>
      </c>
    </row>
    <row r="8" spans="2:7" x14ac:dyDescent="0.3">
      <c r="B8" t="s">
        <v>6</v>
      </c>
      <c r="C8" s="11">
        <v>5389.01</v>
      </c>
      <c r="D8" s="13">
        <v>785.2</v>
      </c>
      <c r="E8" s="19">
        <v>-485.59</v>
      </c>
      <c r="F8" s="11">
        <v>20095.8</v>
      </c>
      <c r="G8" s="11">
        <v>14325.38</v>
      </c>
    </row>
    <row r="9" spans="2:7" x14ac:dyDescent="0.3">
      <c r="B9" t="s">
        <v>7</v>
      </c>
      <c r="C9" s="11">
        <v>-1485.32</v>
      </c>
      <c r="D9" s="11">
        <v>1546.4</v>
      </c>
      <c r="E9" s="19">
        <v>-575.82000000000005</v>
      </c>
      <c r="F9" s="11">
        <v>6957.14</v>
      </c>
      <c r="G9" s="11">
        <v>-3909.1</v>
      </c>
    </row>
    <row r="10" spans="2:7" x14ac:dyDescent="0.3">
      <c r="B10" t="s">
        <v>8</v>
      </c>
      <c r="C10" s="14">
        <v>46.57</v>
      </c>
      <c r="D10" s="13">
        <v>70.760000000000005</v>
      </c>
      <c r="E10" s="13">
        <v>93.38</v>
      </c>
      <c r="F10" s="13">
        <v>199.85</v>
      </c>
      <c r="G10" s="13">
        <v>156.19999999999999</v>
      </c>
    </row>
    <row r="11" spans="2:7" x14ac:dyDescent="0.3">
      <c r="B11" s="46" t="s">
        <v>9</v>
      </c>
      <c r="C11" s="13" t="s">
        <v>11</v>
      </c>
      <c r="D11" s="11">
        <v>3907.91</v>
      </c>
      <c r="E11" s="11">
        <v>4081.85</v>
      </c>
      <c r="F11" s="11">
        <v>3870.27</v>
      </c>
      <c r="G11" s="11">
        <v>5026.29</v>
      </c>
    </row>
    <row r="12" spans="2:7" x14ac:dyDescent="0.3">
      <c r="B12" s="46" t="s">
        <v>14</v>
      </c>
      <c r="C12" s="18">
        <v>0</v>
      </c>
      <c r="D12" s="18">
        <v>0</v>
      </c>
      <c r="E12" s="18">
        <v>0</v>
      </c>
      <c r="F12" s="11">
        <v>57858.6</v>
      </c>
      <c r="G12" s="11">
        <v>78589.17</v>
      </c>
    </row>
    <row r="13" spans="2:7" x14ac:dyDescent="0.3">
      <c r="B13" t="s">
        <v>10</v>
      </c>
      <c r="C13" s="15">
        <v>2919.62</v>
      </c>
      <c r="D13" s="16">
        <v>3573.22</v>
      </c>
      <c r="E13" s="16">
        <v>4505.0200000000004</v>
      </c>
      <c r="F13" s="16">
        <v>4742.7299999999996</v>
      </c>
      <c r="G13" s="16">
        <v>5330.71</v>
      </c>
    </row>
    <row r="14" spans="2:7" x14ac:dyDescent="0.3">
      <c r="B14" s="26" t="s">
        <v>12</v>
      </c>
      <c r="C14" s="32">
        <f>SUM(C7:C13)</f>
        <v>24894.469999999998</v>
      </c>
      <c r="D14" s="32">
        <f>SUM(D7:D13)</f>
        <v>31758.99</v>
      </c>
      <c r="E14" s="32">
        <f>SUM(E7:E13)</f>
        <v>33882.050000000003</v>
      </c>
      <c r="F14" s="32">
        <f>SUM(F7:F13)</f>
        <v>124345.74999999999</v>
      </c>
      <c r="G14" s="32">
        <f>SUM(G7:G13)</f>
        <v>134548.5</v>
      </c>
    </row>
    <row r="15" spans="2:7" x14ac:dyDescent="0.3">
      <c r="C15" s="33"/>
      <c r="D15" s="33"/>
      <c r="E15" s="33"/>
      <c r="F15" s="33"/>
      <c r="G15" s="33"/>
    </row>
    <row r="16" spans="2:7" ht="15" thickBot="1" x14ac:dyDescent="0.35">
      <c r="B16" s="3" t="s">
        <v>15</v>
      </c>
      <c r="C16" s="34">
        <f>C6+C14</f>
        <v>153446.87</v>
      </c>
      <c r="D16" s="34">
        <f t="shared" ref="D16:G16" si="0">D6+D14</f>
        <v>167695.4</v>
      </c>
      <c r="E16" s="34">
        <f t="shared" si="0"/>
        <v>204636.09999999998</v>
      </c>
      <c r="F16" s="34">
        <f t="shared" si="0"/>
        <v>350469.97</v>
      </c>
      <c r="G16" s="34">
        <f t="shared" si="0"/>
        <v>470915.93000000005</v>
      </c>
    </row>
    <row r="17" spans="2:7" ht="15" thickTop="1" x14ac:dyDescent="0.3">
      <c r="C17" s="33"/>
      <c r="D17" s="33"/>
      <c r="E17" s="33"/>
      <c r="F17" s="33"/>
      <c r="G17" s="33"/>
    </row>
    <row r="18" spans="2:7" x14ac:dyDescent="0.3">
      <c r="B18" s="1" t="s">
        <v>16</v>
      </c>
      <c r="C18" s="31"/>
      <c r="D18" s="47">
        <f>(D16-C16)/C16</f>
        <v>9.2856439495963644E-2</v>
      </c>
      <c r="E18" s="47">
        <f t="shared" ref="E18:G18" si="1">(E16-D16)/D16</f>
        <v>0.22028451585434058</v>
      </c>
      <c r="F18" s="47">
        <f t="shared" si="1"/>
        <v>0.71264977196105683</v>
      </c>
      <c r="G18" s="47">
        <f t="shared" si="1"/>
        <v>0.34366984423801017</v>
      </c>
    </row>
    <row r="20" spans="2:7" x14ac:dyDescent="0.3">
      <c r="B20" s="44" t="s">
        <v>18</v>
      </c>
      <c r="C20" s="45">
        <v>2021</v>
      </c>
      <c r="D20" s="45">
        <v>2022</v>
      </c>
      <c r="E20" s="45">
        <v>2023</v>
      </c>
      <c r="F20" s="45">
        <v>2024</v>
      </c>
      <c r="G20" s="45">
        <v>2025</v>
      </c>
    </row>
    <row r="21" spans="2:7" x14ac:dyDescent="0.3">
      <c r="B21" t="s">
        <v>19</v>
      </c>
      <c r="C21" s="11">
        <v>50126.03</v>
      </c>
      <c r="D21" s="11">
        <v>48901</v>
      </c>
      <c r="E21" s="11">
        <v>61509.59</v>
      </c>
      <c r="F21" s="11">
        <v>99401.5</v>
      </c>
      <c r="G21" s="11">
        <v>125216.63</v>
      </c>
    </row>
    <row r="22" spans="2:7" x14ac:dyDescent="0.3">
      <c r="B22" t="s">
        <v>20</v>
      </c>
      <c r="C22" s="11">
        <v>9064.43</v>
      </c>
      <c r="D22" s="11">
        <v>9518.48</v>
      </c>
      <c r="E22" s="12">
        <v>12796.49</v>
      </c>
      <c r="F22" s="11">
        <v>50244.76</v>
      </c>
      <c r="G22" s="11">
        <v>52486.78</v>
      </c>
    </row>
    <row r="23" spans="2:7" x14ac:dyDescent="0.3">
      <c r="B23" t="s">
        <v>21</v>
      </c>
      <c r="C23" s="35">
        <v>57.13</v>
      </c>
      <c r="D23" s="35">
        <v>164.85</v>
      </c>
      <c r="E23" s="16">
        <v>3473.86</v>
      </c>
      <c r="F23" s="16">
        <v>4492.29</v>
      </c>
      <c r="G23" s="16">
        <v>6190.79</v>
      </c>
    </row>
    <row r="24" spans="2:7" x14ac:dyDescent="0.3">
      <c r="B24" s="2" t="s">
        <v>22</v>
      </c>
      <c r="C24" s="36">
        <f>SUM(C21:C23)</f>
        <v>59247.59</v>
      </c>
      <c r="D24" s="36">
        <f t="shared" ref="D24:G24" si="2">SUM(D21:D23)</f>
        <v>58584.329999999994</v>
      </c>
      <c r="E24" s="36">
        <f t="shared" si="2"/>
        <v>77779.94</v>
      </c>
      <c r="F24" s="36">
        <f t="shared" si="2"/>
        <v>154138.55000000002</v>
      </c>
      <c r="G24" s="36">
        <f t="shared" si="2"/>
        <v>183894.2</v>
      </c>
    </row>
    <row r="25" spans="2:7" x14ac:dyDescent="0.3">
      <c r="B25" t="s">
        <v>23</v>
      </c>
      <c r="C25" s="37">
        <v>13676.67</v>
      </c>
      <c r="D25" s="37">
        <v>15897.03</v>
      </c>
      <c r="E25" s="37">
        <v>20016.849999999999</v>
      </c>
      <c r="F25" s="38">
        <v>31023</v>
      </c>
      <c r="G25" s="37">
        <v>34135.75</v>
      </c>
    </row>
    <row r="26" spans="2:7" x14ac:dyDescent="0.3">
      <c r="B26" t="s">
        <v>24</v>
      </c>
      <c r="C26" s="37">
        <v>1808.88</v>
      </c>
      <c r="D26" s="37">
        <v>1760.26</v>
      </c>
      <c r="E26" s="38">
        <v>2244.52</v>
      </c>
      <c r="F26" s="38">
        <v>3023.34</v>
      </c>
      <c r="G26" s="37">
        <v>3601.92</v>
      </c>
    </row>
    <row r="27" spans="2:7" x14ac:dyDescent="0.3">
      <c r="B27" t="s">
        <v>25</v>
      </c>
      <c r="C27" s="39">
        <v>444.83</v>
      </c>
      <c r="D27" s="40">
        <v>548.05999999999995</v>
      </c>
      <c r="E27" s="39">
        <v>732.84</v>
      </c>
      <c r="F27" s="38">
        <v>1021.67</v>
      </c>
      <c r="G27" s="37">
        <v>922.54</v>
      </c>
    </row>
    <row r="28" spans="2:7" x14ac:dyDescent="0.3">
      <c r="B28" t="s">
        <v>26</v>
      </c>
      <c r="C28" s="40">
        <v>102.25</v>
      </c>
      <c r="D28" s="40">
        <v>262.54000000000002</v>
      </c>
      <c r="E28" s="40">
        <v>269.95</v>
      </c>
      <c r="F28" s="37">
        <v>1259.3499999999999</v>
      </c>
      <c r="G28" s="37">
        <v>1533.33</v>
      </c>
    </row>
    <row r="29" spans="2:7" x14ac:dyDescent="0.3">
      <c r="B29" t="s">
        <v>27</v>
      </c>
      <c r="C29" s="37">
        <v>1385.01</v>
      </c>
      <c r="D29" s="37">
        <v>1680.73</v>
      </c>
      <c r="E29" s="37">
        <v>2345.4699999999998</v>
      </c>
      <c r="F29" s="38">
        <v>3092.08</v>
      </c>
      <c r="G29" s="37">
        <v>3805.23</v>
      </c>
    </row>
    <row r="30" spans="2:7" ht="28.8" x14ac:dyDescent="0.3">
      <c r="B30" s="46" t="s">
        <v>28</v>
      </c>
      <c r="C30" s="40">
        <v>5.68</v>
      </c>
      <c r="D30" s="40">
        <v>7.78</v>
      </c>
      <c r="E30" s="40">
        <v>14.51</v>
      </c>
      <c r="F30" s="38">
        <v>27.07</v>
      </c>
      <c r="G30" s="37">
        <v>32.14</v>
      </c>
    </row>
    <row r="31" spans="2:7" x14ac:dyDescent="0.3">
      <c r="B31" t="s">
        <v>29</v>
      </c>
      <c r="C31" s="39">
        <v>4.63</v>
      </c>
      <c r="D31" s="40">
        <v>6.26</v>
      </c>
      <c r="E31" s="40">
        <v>9.7200000000000006</v>
      </c>
      <c r="F31" s="38">
        <v>26.11</v>
      </c>
      <c r="G31" s="37">
        <v>22.69</v>
      </c>
    </row>
    <row r="32" spans="2:7" x14ac:dyDescent="0.3">
      <c r="B32" t="s">
        <v>30</v>
      </c>
      <c r="C32" s="39">
        <v>154.80000000000001</v>
      </c>
      <c r="D32" s="40">
        <v>282.35000000000002</v>
      </c>
      <c r="E32" s="40">
        <v>348.89</v>
      </c>
      <c r="F32" s="38">
        <v>398.68</v>
      </c>
      <c r="G32" s="37">
        <v>420.54</v>
      </c>
    </row>
    <row r="33" spans="1:7" x14ac:dyDescent="0.3">
      <c r="B33" t="s">
        <v>31</v>
      </c>
      <c r="C33" s="40">
        <v>540.24</v>
      </c>
      <c r="D33" s="40">
        <v>636.87</v>
      </c>
      <c r="E33" s="40">
        <v>724.08</v>
      </c>
      <c r="F33" s="37">
        <v>1050.67</v>
      </c>
      <c r="G33" s="21">
        <v>1124.43</v>
      </c>
    </row>
    <row r="34" spans="1:7" x14ac:dyDescent="0.3">
      <c r="B34" t="s">
        <v>32</v>
      </c>
      <c r="C34" s="38">
        <v>1649.11</v>
      </c>
      <c r="D34" s="37">
        <v>1772.27</v>
      </c>
      <c r="E34" s="38">
        <v>2176.5</v>
      </c>
      <c r="F34" s="37">
        <v>3255.75</v>
      </c>
      <c r="G34" s="21">
        <v>3943.56</v>
      </c>
    </row>
    <row r="35" spans="1:7" x14ac:dyDescent="0.3">
      <c r="A35" t="s">
        <v>56</v>
      </c>
      <c r="B35" t="s">
        <v>33</v>
      </c>
      <c r="C35" s="37">
        <v>1724.91</v>
      </c>
      <c r="D35" s="37">
        <v>1910.45</v>
      </c>
      <c r="E35" s="38">
        <v>2250</v>
      </c>
      <c r="F35" s="37">
        <v>2486.77</v>
      </c>
      <c r="G35" s="21">
        <v>3125.61</v>
      </c>
    </row>
    <row r="36" spans="1:7" ht="28.8" x14ac:dyDescent="0.3">
      <c r="B36" s="46" t="s">
        <v>37</v>
      </c>
      <c r="C36" s="20">
        <v>0</v>
      </c>
      <c r="D36" s="20">
        <v>0</v>
      </c>
      <c r="E36" s="20">
        <v>0</v>
      </c>
      <c r="F36" s="37">
        <v>38159.35</v>
      </c>
      <c r="G36" s="21">
        <v>47576.09</v>
      </c>
    </row>
    <row r="37" spans="1:7" x14ac:dyDescent="0.3">
      <c r="B37" t="s">
        <v>35</v>
      </c>
      <c r="C37" s="20">
        <v>0</v>
      </c>
      <c r="D37" s="20">
        <v>0</v>
      </c>
      <c r="E37" s="20">
        <v>0</v>
      </c>
      <c r="F37" s="37">
        <v>40154.11</v>
      </c>
      <c r="G37" s="21">
        <v>47576.09</v>
      </c>
    </row>
    <row r="38" spans="1:7" x14ac:dyDescent="0.3">
      <c r="B38" t="s">
        <v>34</v>
      </c>
      <c r="C38" s="41">
        <v>13504.25</v>
      </c>
      <c r="D38" s="41">
        <v>15547.83</v>
      </c>
      <c r="E38" s="42">
        <v>20400.36</v>
      </c>
      <c r="F38" s="41">
        <v>27291.39</v>
      </c>
      <c r="G38" s="22">
        <v>29499.94</v>
      </c>
    </row>
    <row r="39" spans="1:7" x14ac:dyDescent="0.3">
      <c r="B39" s="2" t="s">
        <v>36</v>
      </c>
      <c r="C39" s="43">
        <f>SUM(C25:C38)</f>
        <v>35001.26</v>
      </c>
      <c r="D39" s="43">
        <f t="shared" ref="D39:G39" si="3">SUM(D25:D38)</f>
        <v>40312.43</v>
      </c>
      <c r="E39" s="43">
        <f t="shared" si="3"/>
        <v>51533.69</v>
      </c>
      <c r="F39" s="43">
        <f t="shared" si="3"/>
        <v>152269.34</v>
      </c>
      <c r="G39" s="43">
        <f t="shared" si="3"/>
        <v>177319.86</v>
      </c>
    </row>
    <row r="41" spans="1:7" x14ac:dyDescent="0.3">
      <c r="B41" s="23" t="s">
        <v>38</v>
      </c>
      <c r="C41" s="17">
        <v>29779.66</v>
      </c>
      <c r="D41" s="17">
        <v>30647.74</v>
      </c>
      <c r="E41" s="17">
        <v>29203.77</v>
      </c>
      <c r="F41" s="17">
        <v>36140.379999999997</v>
      </c>
      <c r="G41" s="17">
        <v>36976.49</v>
      </c>
    </row>
    <row r="43" spans="1:7" x14ac:dyDescent="0.3">
      <c r="B43" s="24" t="s">
        <v>39</v>
      </c>
      <c r="C43" s="25">
        <f>C24+C39+C41</f>
        <v>124028.51000000001</v>
      </c>
      <c r="D43" s="25">
        <f t="shared" ref="D43:G43" si="4">D24+D39+D41</f>
        <v>129544.5</v>
      </c>
      <c r="E43" s="25">
        <f t="shared" si="4"/>
        <v>158517.4</v>
      </c>
      <c r="F43" s="25">
        <f t="shared" si="4"/>
        <v>342548.27</v>
      </c>
      <c r="G43" s="25">
        <f t="shared" si="4"/>
        <v>398190.55</v>
      </c>
    </row>
    <row r="45" spans="1:7" ht="15" thickBot="1" x14ac:dyDescent="0.35">
      <c r="B45" s="3" t="s">
        <v>40</v>
      </c>
      <c r="C45" s="4">
        <f>C16-C43</f>
        <v>29418.359999999986</v>
      </c>
      <c r="D45" s="4">
        <f t="shared" ref="D45:G45" si="5">D16-D43</f>
        <v>38150.899999999994</v>
      </c>
      <c r="E45" s="4">
        <f t="shared" si="5"/>
        <v>46118.699999999983</v>
      </c>
      <c r="F45" s="4">
        <f t="shared" si="5"/>
        <v>7921.6999999999534</v>
      </c>
      <c r="G45" s="4">
        <f t="shared" si="5"/>
        <v>72725.380000000063</v>
      </c>
    </row>
    <row r="46" spans="1:7" ht="15" thickTop="1" x14ac:dyDescent="0.3">
      <c r="B46" s="26"/>
      <c r="C46" s="27"/>
      <c r="D46" s="27"/>
      <c r="E46" s="27"/>
      <c r="F46" s="27"/>
      <c r="G46" s="27"/>
    </row>
    <row r="47" spans="1:7" x14ac:dyDescent="0.3">
      <c r="B47" s="26" t="s">
        <v>16</v>
      </c>
      <c r="C47" s="27"/>
      <c r="D47" s="28">
        <f>(D45-C45)/C45</f>
        <v>0.29683979664400095</v>
      </c>
      <c r="E47" s="28">
        <f t="shared" ref="E47:G47" si="6">(E45-D45)/D45</f>
        <v>0.20884959463603714</v>
      </c>
      <c r="F47" s="28">
        <f t="shared" si="6"/>
        <v>-0.828232365613082</v>
      </c>
      <c r="G47" s="28">
        <f t="shared" si="6"/>
        <v>8.1805269071033351</v>
      </c>
    </row>
    <row r="48" spans="1:7" x14ac:dyDescent="0.3">
      <c r="B48" s="26"/>
      <c r="C48" s="27"/>
      <c r="D48" s="27"/>
      <c r="E48" s="27"/>
      <c r="F48" s="27"/>
      <c r="G48" s="27"/>
    </row>
    <row r="50" spans="2:7" x14ac:dyDescent="0.3">
      <c r="B50" s="44" t="s">
        <v>41</v>
      </c>
      <c r="C50" s="45">
        <v>2021</v>
      </c>
      <c r="D50" s="45">
        <v>2022</v>
      </c>
      <c r="E50" s="45">
        <v>2023</v>
      </c>
      <c r="F50" s="45">
        <v>2024</v>
      </c>
      <c r="G50" s="45">
        <v>2025</v>
      </c>
    </row>
    <row r="51" spans="2:7" x14ac:dyDescent="0.3">
      <c r="B51" t="s">
        <v>42</v>
      </c>
      <c r="C51" s="49">
        <v>1185283.52</v>
      </c>
      <c r="D51" s="49">
        <v>1420942.28</v>
      </c>
      <c r="E51" s="50">
        <v>1661949.29</v>
      </c>
      <c r="F51" s="49">
        <v>2565891.41</v>
      </c>
      <c r="G51" s="49">
        <v>2724938.16</v>
      </c>
    </row>
    <row r="52" spans="2:7" x14ac:dyDescent="0.3">
      <c r="B52" t="s">
        <v>43</v>
      </c>
      <c r="C52" s="51">
        <v>15086</v>
      </c>
      <c r="D52" s="51">
        <v>16140.96</v>
      </c>
      <c r="E52" s="51">
        <v>18019.03</v>
      </c>
      <c r="F52" s="51">
        <v>31173.32</v>
      </c>
      <c r="G52" s="51">
        <v>35222.639999999999</v>
      </c>
    </row>
    <row r="53" spans="2:7" x14ac:dyDescent="0.3">
      <c r="B53" t="s">
        <v>46</v>
      </c>
      <c r="C53" s="51">
        <v>10531.18</v>
      </c>
      <c r="D53" s="51">
        <v>11733.28</v>
      </c>
      <c r="E53" s="51">
        <v>13650.6</v>
      </c>
      <c r="F53" s="51">
        <v>23081.58</v>
      </c>
      <c r="G53" s="51">
        <v>23902.21</v>
      </c>
    </row>
    <row r="54" spans="2:7" x14ac:dyDescent="0.3">
      <c r="B54" t="s">
        <v>47</v>
      </c>
      <c r="C54" s="52">
        <f>C52/C51</f>
        <v>1.2727756478045017E-2</v>
      </c>
      <c r="D54" s="52">
        <f>D52/D51</f>
        <v>1.1359335440423378E-2</v>
      </c>
      <c r="E54" s="52">
        <f>E52/E51</f>
        <v>1.0842105778089053E-2</v>
      </c>
      <c r="F54" s="52">
        <f>F52/F51</f>
        <v>1.214911896836663E-2</v>
      </c>
      <c r="G54" s="52">
        <f>G52/G51</f>
        <v>1.292603278747434E-2</v>
      </c>
    </row>
    <row r="55" spans="2:7" x14ac:dyDescent="0.3">
      <c r="B55" t="s">
        <v>44</v>
      </c>
      <c r="C55" s="53">
        <v>4554.82</v>
      </c>
      <c r="D55" s="54">
        <v>4407.68</v>
      </c>
      <c r="E55" s="55">
        <v>4368.43</v>
      </c>
      <c r="F55" s="55">
        <v>8091.74</v>
      </c>
      <c r="G55" s="55">
        <v>11320.43</v>
      </c>
    </row>
    <row r="56" spans="2:7" x14ac:dyDescent="0.3">
      <c r="B56" t="s">
        <v>48</v>
      </c>
      <c r="C56" s="56">
        <f>(C52-C53)/C51</f>
        <v>3.8428105370097439E-3</v>
      </c>
      <c r="D56" s="56">
        <f>(D52-D53)/D51</f>
        <v>3.1019416214429192E-3</v>
      </c>
      <c r="E56" s="56">
        <f>(E52-E53)/E51</f>
        <v>2.6284977684246902E-3</v>
      </c>
      <c r="F56" s="56">
        <f>(F52-F53)/F51</f>
        <v>3.1535785062704572E-3</v>
      </c>
      <c r="G56" s="56">
        <f>(G52-G53)/G51</f>
        <v>4.1543805162903222E-3</v>
      </c>
    </row>
    <row r="57" spans="2:7" x14ac:dyDescent="0.3">
      <c r="C57" s="48"/>
      <c r="D57" s="48"/>
      <c r="E57" s="48"/>
      <c r="F57" s="48"/>
      <c r="G57" s="48"/>
    </row>
    <row r="58" spans="2:7" x14ac:dyDescent="0.3">
      <c r="B58" s="44" t="s">
        <v>65</v>
      </c>
      <c r="C58" s="45">
        <v>2021</v>
      </c>
      <c r="D58" s="45">
        <v>2022</v>
      </c>
      <c r="E58" s="45">
        <v>2023</v>
      </c>
      <c r="F58" s="45">
        <v>2024</v>
      </c>
      <c r="G58" s="45">
        <v>2025</v>
      </c>
    </row>
    <row r="59" spans="2:7" x14ac:dyDescent="0.3">
      <c r="B59" t="s">
        <v>66</v>
      </c>
      <c r="C59" s="48">
        <f>C45/C16</f>
        <v>0.19171691152774889</v>
      </c>
      <c r="D59" s="48">
        <f t="shared" ref="D59:G59" si="7">D45/D16</f>
        <v>0.22750117176738296</v>
      </c>
      <c r="E59" s="48">
        <f t="shared" si="7"/>
        <v>0.22536932633098455</v>
      </c>
      <c r="F59" s="48">
        <f t="shared" si="7"/>
        <v>2.2603077804354974E-2</v>
      </c>
      <c r="G59" s="48">
        <f t="shared" si="7"/>
        <v>0.15443389226607826</v>
      </c>
    </row>
    <row r="60" spans="2:7" x14ac:dyDescent="0.3">
      <c r="B60" t="s">
        <v>67</v>
      </c>
      <c r="C60" s="48">
        <v>1.9699999999999999E-2</v>
      </c>
      <c r="D60" s="48">
        <v>2.0299999999999999E-2</v>
      </c>
      <c r="E60" s="48">
        <v>2.07E-2</v>
      </c>
      <c r="F60" s="48">
        <v>1.9800000000000002E-2</v>
      </c>
      <c r="G60" s="48">
        <v>1.9099999999999999E-2</v>
      </c>
    </row>
    <row r="61" spans="2:7" x14ac:dyDescent="0.3">
      <c r="B61" t="s">
        <v>68</v>
      </c>
      <c r="C61" s="48"/>
      <c r="D61" s="48"/>
      <c r="E61" s="48"/>
      <c r="F61" s="48"/>
      <c r="G61" s="48"/>
    </row>
    <row r="62" spans="2:7" x14ac:dyDescent="0.3">
      <c r="C62" s="48"/>
      <c r="D62" s="48"/>
      <c r="E62" s="48"/>
      <c r="F62" s="48"/>
      <c r="G62" s="48"/>
    </row>
    <row r="63" spans="2:7" x14ac:dyDescent="0.3">
      <c r="C63" s="48"/>
      <c r="D63" s="48"/>
      <c r="E63" s="48"/>
      <c r="F63" s="48"/>
      <c r="G63" s="48"/>
    </row>
    <row r="64" spans="2:7" x14ac:dyDescent="0.3">
      <c r="B64" s="44" t="s">
        <v>45</v>
      </c>
    </row>
    <row r="65" spans="1:12" x14ac:dyDescent="0.3">
      <c r="A65" t="s">
        <v>55</v>
      </c>
      <c r="B65" s="29" t="s">
        <v>54</v>
      </c>
    </row>
    <row r="66" spans="1:12" x14ac:dyDescent="0.3">
      <c r="A66" t="s">
        <v>55</v>
      </c>
      <c r="B66" s="29" t="s">
        <v>49</v>
      </c>
    </row>
    <row r="67" spans="1:12" x14ac:dyDescent="0.3">
      <c r="A67" t="s">
        <v>55</v>
      </c>
      <c r="B67" s="29" t="s">
        <v>50</v>
      </c>
    </row>
    <row r="68" spans="1:12" x14ac:dyDescent="0.3">
      <c r="A68" t="s">
        <v>55</v>
      </c>
      <c r="B68" s="29" t="s">
        <v>51</v>
      </c>
    </row>
    <row r="69" spans="1:12" x14ac:dyDescent="0.3">
      <c r="A69" t="s">
        <v>55</v>
      </c>
      <c r="B69" s="29" t="s">
        <v>52</v>
      </c>
    </row>
    <row r="70" spans="1:12" x14ac:dyDescent="0.3">
      <c r="A70" t="s">
        <v>55</v>
      </c>
      <c r="B70" s="29" t="s">
        <v>53</v>
      </c>
    </row>
    <row r="72" spans="1:12" x14ac:dyDescent="0.3">
      <c r="B72" s="44" t="s">
        <v>57</v>
      </c>
      <c r="L72" s="30"/>
    </row>
    <row r="73" spans="1:12" s="30" customFormat="1" ht="72" x14ac:dyDescent="0.3">
      <c r="A73" s="58" t="s">
        <v>55</v>
      </c>
      <c r="B73" s="57" t="s">
        <v>60</v>
      </c>
    </row>
    <row r="74" spans="1:12" s="30" customFormat="1" ht="72" x14ac:dyDescent="0.3">
      <c r="A74" s="58" t="s">
        <v>55</v>
      </c>
      <c r="B74" s="57" t="s">
        <v>58</v>
      </c>
    </row>
    <row r="75" spans="1:12" ht="57.6" x14ac:dyDescent="0.3">
      <c r="A75" s="58" t="s">
        <v>55</v>
      </c>
      <c r="B75" s="57" t="s">
        <v>59</v>
      </c>
    </row>
    <row r="76" spans="1:12" ht="18" x14ac:dyDescent="0.3">
      <c r="B76" s="59" t="s">
        <v>64</v>
      </c>
    </row>
    <row r="77" spans="1:12" ht="28.8" x14ac:dyDescent="0.3">
      <c r="A77" s="58" t="s">
        <v>55</v>
      </c>
      <c r="B77" s="60" t="s">
        <v>61</v>
      </c>
    </row>
    <row r="78" spans="1:12" ht="43.2" x14ac:dyDescent="0.3">
      <c r="A78" s="58" t="s">
        <v>55</v>
      </c>
      <c r="B78" s="60" t="s">
        <v>62</v>
      </c>
    </row>
    <row r="79" spans="1:12" ht="28.8" x14ac:dyDescent="0.3">
      <c r="A79" s="58" t="s">
        <v>55</v>
      </c>
      <c r="B79" s="60" t="s">
        <v>63</v>
      </c>
    </row>
    <row r="81" spans="1:2" x14ac:dyDescent="0.3">
      <c r="B81" s="44" t="s">
        <v>69</v>
      </c>
    </row>
    <row r="82" spans="1:2" ht="43.2" x14ac:dyDescent="0.3">
      <c r="A82" s="58" t="s">
        <v>55</v>
      </c>
      <c r="B82" s="60" t="s">
        <v>70</v>
      </c>
    </row>
    <row r="83" spans="1:2" ht="43.2" x14ac:dyDescent="0.3">
      <c r="A83" s="58" t="s">
        <v>55</v>
      </c>
      <c r="B83" s="60" t="s">
        <v>71</v>
      </c>
    </row>
    <row r="84" spans="1:2" ht="43.2" x14ac:dyDescent="0.3">
      <c r="A84" s="58" t="s">
        <v>55</v>
      </c>
      <c r="B84" s="60" t="s">
        <v>72</v>
      </c>
    </row>
  </sheetData>
  <pageMargins left="0.7" right="0.7" top="0.75" bottom="0.75" header="0.3" footer="0.3"/>
  <pageSetup orientation="portrait" r:id="rId1"/>
  <ignoredErrors>
    <ignoredError sqref="C6:G6 C24:G24" formulaRange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Revenue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2026-03-22T08:41:47Z</dcterms:created>
  <dcterms:modified xsi:type="dcterms:W3CDTF">2026-03-24T07:26:31Z</dcterms:modified>
</cp:coreProperties>
</file>